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Phas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<sst xmlns="http://schemas.openxmlformats.org/spreadsheetml/2006/main" count="137" uniqueCount="68">
  <si>
    <t xml:space="preserve">WBS ID</t>
  </si>
  <si>
    <t xml:space="preserve">Phase</t>
  </si>
  <si>
    <t xml:space="preserve">Work Package / Task</t>
  </si>
  <si>
    <t xml:space="preserve">Owner Role</t>
  </si>
  <si>
    <t xml:space="preserve">Start Date</t>
  </si>
  <si>
    <t xml:space="preserve">End Date</t>
  </si>
  <si>
    <t xml:space="preserve">Duration (Days)</t>
  </si>
  <si>
    <t xml:space="preserve">Dependency</t>
  </si>
  <si>
    <t xml:space="preserve">Status</t>
  </si>
  <si>
    <t xml:space="preserve">1.1</t>
  </si>
  <si>
    <t xml:space="preserve">Phase 1: Reality Alignment &amp; Content Sourcing (7–10 Sep)</t>
  </si>
  <si>
    <t xml:space="preserve">Rewrite content pipeline to human-sourced-first model (AI limited to draft-translation assist only)</t>
  </si>
  <si>
    <t xml:space="preserve">Backend / Geospatial Engineer</t>
  </si>
  <si>
    <t xml:space="preserve">Not Started</t>
  </si>
  <si>
    <t xml:space="preserve">1.2</t>
  </si>
  <si>
    <t xml:space="preserve">Draft outreach message to Kimberley Big Hole &amp; Diamond Museum</t>
  </si>
  <si>
    <t xml:space="preserve">Partnerships / Go-to-Market Lead</t>
  </si>
  <si>
    <t xml:space="preserve">1.3</t>
  </si>
  <si>
    <t xml:space="preserve">Draft outreach message to Matjiesfontein heritage village</t>
  </si>
  <si>
    <t xml:space="preserve">1.4</t>
  </si>
  <si>
    <t xml:space="preserve">Verify real waypoint coordinates for all 8 stations against published station records</t>
  </si>
  <si>
    <t xml:space="preserve">1.5</t>
  </si>
  <si>
    <t xml:space="preserve">Finalize WBS and consumer-phasing plan (this document)</t>
  </si>
  <si>
    <t xml:space="preserve">2.1</t>
  </si>
  <si>
    <t xml:space="preserve">Phase 2: TRL 4 Lab Integration Build (10–18 Sep)</t>
  </si>
  <si>
    <t xml:space="preserve">Build integrated FastAPI journey-position service (route + geofence + content store)</t>
  </si>
  <si>
    <t xml:space="preserve">2.2</t>
  </si>
  <si>
    <t xml:space="preserve">Build MapLibre animated route frontend (Explorer Mode skeleton)</t>
  </si>
  <si>
    <t xml:space="preserve">Frontend / Map Animation Developer</t>
  </si>
  <si>
    <t xml:space="preserve">2.3</t>
  </si>
  <si>
    <t xml:space="preserve">Wire frontend to integrated API — first true end-to-end lab demo</t>
  </si>
  <si>
    <t xml:space="preserve">2.1, 2.2</t>
  </si>
  <si>
    <t xml:space="preserve">2.4</t>
  </si>
  <si>
    <t xml:space="preserve">Write end-to-end integration test suite (not just unit tests)</t>
  </si>
  <si>
    <t xml:space="preserve">2.5</t>
  </si>
  <si>
    <t xml:space="preserve">Human review pass on all seeded story content before it ships</t>
  </si>
  <si>
    <t xml:space="preserve">UX &amp; Cultural Content Lead</t>
  </si>
  <si>
    <t xml:space="preserve">3.1</t>
  </si>
  <si>
    <t xml:space="preserve">Phase 3: Consumer-Phasing Prep (18–24 Sep)</t>
  </si>
  <si>
    <t xml:space="preserve">Recruit 10–15 friends/family for closed Phase 0 pilot</t>
  </si>
  <si>
    <t xml:space="preserve">3.2</t>
  </si>
  <si>
    <t xml:space="preserve">Run closed pilot walkthrough sessions and collect feedback</t>
  </si>
  <si>
    <t xml:space="preserve">3.3</t>
  </si>
  <si>
    <t xml:space="preserve">Incorporate pilot feedback into Explorer Mode UX</t>
  </si>
  <si>
    <t xml:space="preserve">3.4</t>
  </si>
  <si>
    <t xml:space="preserve">Prepare judge-facing pitch deck and live demo script</t>
  </si>
  <si>
    <t xml:space="preserve">3.5</t>
  </si>
  <si>
    <t xml:space="preserve">Rehearse live demo end-to-end with full team</t>
  </si>
  <si>
    <t xml:space="preserve">All</t>
  </si>
  <si>
    <t xml:space="preserve">4.1</t>
  </si>
  <si>
    <t xml:space="preserve">Phase 4: Hackathon Weekend (25–27 Sep, BCX HQs Centurion)</t>
  </si>
  <si>
    <t xml:space="preserve">Day 1 — team sync and final build push</t>
  </si>
  <si>
    <t xml:space="preserve">4.2</t>
  </si>
  <si>
    <t xml:space="preserve">Day 2 — full run-through and judge Q&amp;A preparation</t>
  </si>
  <si>
    <t xml:space="preserve">4.3</t>
  </si>
  <si>
    <t xml:space="preserve">Day 3 — final polish, submission, live pitch</t>
  </si>
  <si>
    <t xml:space="preserve">5.1</t>
  </si>
  <si>
    <t xml:space="preserve">Phase 5: Post-Hackathon Consumer Rollout (28 Sep onward)</t>
  </si>
  <si>
    <t xml:space="preserve">Phase 0 — closed-pilot retro and fixes from hackathon feedback</t>
  </si>
  <si>
    <t xml:space="preserve">5.2</t>
  </si>
  <si>
    <t xml:space="preserve">Phase 1 — limited public pilot with one confirmed operator partner (Rovos Rail or Blue Train)</t>
  </si>
  <si>
    <t xml:space="preserve">5.3</t>
  </si>
  <si>
    <t xml:space="preserve">Phase 2 — broader public Explorer Mode launch (no operator dependency)</t>
  </si>
  <si>
    <t xml:space="preserve">Total Tasks</t>
  </si>
  <si>
    <t xml:space="preserve">In Progress</t>
  </si>
  <si>
    <t xml:space="preserve">Done</t>
  </si>
  <si>
    <t xml:space="preserve">% Complete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</si>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</sst>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B1F3B"/>
      <name val="Arial"/>
      <family val="0"/>
      <charset val="1"/>
    </font>
    <font>
      <b val="true"/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F3B"/>
        <bgColor rgb="FF003366"/>
      </patternFill>
    </fill>
    <fill>
      <patternFill patternType="solid">
        <fgColor rgb="FFE8E6DA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E6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s">
        <v>9</v>
      </c>
      <c r="B2" s="3" t="s">
        <v>10</v>
      </c>
      <c r="C2" s="4" t="s">
        <v>11</v>
      </c>
      <c r="D2" s="2" t="s">
        <v>12</v>
      </c>
      <c r="E2" s="5" t="n">
        <v>46272</v>
      </c>
      <c r="F2" s="5" t="n">
        <v>46273</v>
      </c>
      <c r="G2" s="2" t="n">
        <f aca="false">F2-E2+1</f>
        <v>2</v>
      </c>
      <c r="H2" s="2"/>
      <c r="I2" s="2" t="s">
        <v>13</v>
      </c>
    </row>
    <row r="3" customFormat="false" ht="26.85" hidden="false" customHeight="false" outlineLevel="0" collapsed="false">
      <c r="A3" s="2" t="s">
        <v>14</v>
      </c>
      <c r="B3" s="3" t="s">
        <v>10</v>
      </c>
      <c r="C3" s="4" t="s">
        <v>15</v>
      </c>
      <c r="D3" s="2" t="s">
        <v>16</v>
      </c>
      <c r="E3" s="5" t="n">
        <v>46272</v>
      </c>
      <c r="F3" s="5" t="n">
        <v>46273</v>
      </c>
      <c r="G3" s="2" t="n">
        <f aca="false">F3-E3+1</f>
        <v>2</v>
      </c>
      <c r="H3" s="2"/>
      <c r="I3" s="2" t="s">
        <v>13</v>
      </c>
    </row>
    <row r="4" customFormat="false" ht="26.85" hidden="false" customHeight="false" outlineLevel="0" collapsed="false">
      <c r="A4" s="2" t="s">
        <v>17</v>
      </c>
      <c r="B4" s="3" t="s">
        <v>10</v>
      </c>
      <c r="C4" s="4" t="s">
        <v>18</v>
      </c>
      <c r="D4" s="2" t="s">
        <v>16</v>
      </c>
      <c r="E4" s="5" t="n">
        <v>46273</v>
      </c>
      <c r="F4" s="5" t="n">
        <v>46274</v>
      </c>
      <c r="G4" s="2" t="n">
        <f aca="false">F4-E4+1</f>
        <v>2</v>
      </c>
      <c r="H4" s="2"/>
      <c r="I4" s="2" t="s">
        <v>13</v>
      </c>
    </row>
    <row r="5" customFormat="false" ht="26.85" hidden="false" customHeight="false" outlineLevel="0" collapsed="false">
      <c r="A5" s="2" t="s">
        <v>19</v>
      </c>
      <c r="B5" s="3" t="s">
        <v>10</v>
      </c>
      <c r="C5" s="4" t="s">
        <v>20</v>
      </c>
      <c r="D5" s="2" t="s">
        <v>12</v>
      </c>
      <c r="E5" s="5" t="n">
        <v>46272</v>
      </c>
      <c r="F5" s="5" t="n">
        <v>46273</v>
      </c>
      <c r="G5" s="2" t="n">
        <f aca="false">F5-E5+1</f>
        <v>2</v>
      </c>
      <c r="H5" s="2"/>
      <c r="I5" s="2" t="s">
        <v>13</v>
      </c>
    </row>
    <row r="6" customFormat="false" ht="26.85" hidden="false" customHeight="false" outlineLevel="0" collapsed="false">
      <c r="A6" s="2" t="s">
        <v>21</v>
      </c>
      <c r="B6" s="3" t="s">
        <v>10</v>
      </c>
      <c r="C6" s="4" t="s">
        <v>22</v>
      </c>
      <c r="D6" s="2" t="s">
        <v>16</v>
      </c>
      <c r="E6" s="5" t="n">
        <v>46274</v>
      </c>
      <c r="F6" s="5" t="n">
        <v>46275</v>
      </c>
      <c r="G6" s="2" t="n">
        <f aca="false">F6-E6+1</f>
        <v>2</v>
      </c>
      <c r="H6" s="2"/>
      <c r="I6" s="2" t="s">
        <v>13</v>
      </c>
    </row>
    <row r="7" customFormat="false" ht="26.85" hidden="false" customHeight="false" outlineLevel="0" collapsed="false">
      <c r="A7" s="2" t="s">
        <v>23</v>
      </c>
      <c r="B7" s="3" t="s">
        <v>24</v>
      </c>
      <c r="C7" s="4" t="s">
        <v>25</v>
      </c>
      <c r="D7" s="2" t="s">
        <v>12</v>
      </c>
      <c r="E7" s="5" t="n">
        <v>46275</v>
      </c>
      <c r="F7" s="5" t="n">
        <v>46278</v>
      </c>
      <c r="G7" s="2" t="n">
        <f aca="false">F7-E7+1</f>
        <v>4</v>
      </c>
      <c r="H7" s="2" t="s">
        <v>9</v>
      </c>
      <c r="I7" s="2" t="s">
        <v>13</v>
      </c>
    </row>
    <row r="8" customFormat="false" ht="26.85" hidden="false" customHeight="false" outlineLevel="0" collapsed="false">
      <c r="A8" s="2" t="s">
        <v>26</v>
      </c>
      <c r="B8" s="3" t="s">
        <v>24</v>
      </c>
      <c r="C8" s="4" t="s">
        <v>27</v>
      </c>
      <c r="D8" s="2" t="s">
        <v>28</v>
      </c>
      <c r="E8" s="5" t="n">
        <v>46276</v>
      </c>
      <c r="F8" s="5" t="n">
        <v>46281</v>
      </c>
      <c r="G8" s="2" t="n">
        <f aca="false">F8-E8+1</f>
        <v>6</v>
      </c>
      <c r="H8" s="2"/>
      <c r="I8" s="2" t="s">
        <v>13</v>
      </c>
    </row>
    <row r="9" customFormat="false" ht="26.85" hidden="false" customHeight="false" outlineLevel="0" collapsed="false">
      <c r="A9" s="2" t="s">
        <v>29</v>
      </c>
      <c r="B9" s="3" t="s">
        <v>24</v>
      </c>
      <c r="C9" s="4" t="s">
        <v>30</v>
      </c>
      <c r="D9" s="2" t="s">
        <v>28</v>
      </c>
      <c r="E9" s="5" t="n">
        <v>46281</v>
      </c>
      <c r="F9" s="5" t="n">
        <v>46283</v>
      </c>
      <c r="G9" s="2" t="n">
        <f aca="false">F9-E9+1</f>
        <v>3</v>
      </c>
      <c r="H9" s="2" t="s">
        <v>31</v>
      </c>
      <c r="I9" s="2" t="s">
        <v>13</v>
      </c>
    </row>
    <row r="10" customFormat="false" ht="26.85" hidden="false" customHeight="false" outlineLevel="0" collapsed="false">
      <c r="A10" s="2" t="s">
        <v>32</v>
      </c>
      <c r="B10" s="3" t="s">
        <v>24</v>
      </c>
      <c r="C10" s="4" t="s">
        <v>33</v>
      </c>
      <c r="D10" s="2" t="s">
        <v>12</v>
      </c>
      <c r="E10" s="5" t="n">
        <v>46278</v>
      </c>
      <c r="F10" s="5" t="n">
        <v>46279</v>
      </c>
      <c r="G10" s="2" t="n">
        <f aca="false">F10-E10+1</f>
        <v>2</v>
      </c>
      <c r="H10" s="2" t="s">
        <v>23</v>
      </c>
      <c r="I10" s="2" t="s">
        <v>13</v>
      </c>
    </row>
    <row r="11" customFormat="false" ht="26.85" hidden="false" customHeight="false" outlineLevel="0" collapsed="false">
      <c r="A11" s="2" t="s">
        <v>34</v>
      </c>
      <c r="B11" s="3" t="s">
        <v>24</v>
      </c>
      <c r="C11" s="4" t="s">
        <v>35</v>
      </c>
      <c r="D11" s="2" t="s">
        <v>36</v>
      </c>
      <c r="E11" s="5" t="n">
        <v>46279</v>
      </c>
      <c r="F11" s="5" t="n">
        <v>46281</v>
      </c>
      <c r="G11" s="2" t="n">
        <f aca="false">F11-E11+1</f>
        <v>3</v>
      </c>
      <c r="H11" s="2"/>
      <c r="I11" s="2" t="s">
        <v>13</v>
      </c>
    </row>
    <row r="12" customFormat="false" ht="26.85" hidden="false" customHeight="false" outlineLevel="0" collapsed="false">
      <c r="A12" s="2" t="s">
        <v>37</v>
      </c>
      <c r="B12" s="3" t="s">
        <v>38</v>
      </c>
      <c r="C12" s="4" t="s">
        <v>39</v>
      </c>
      <c r="D12" s="2" t="s">
        <v>16</v>
      </c>
      <c r="E12" s="5" t="n">
        <v>46283</v>
      </c>
      <c r="F12" s="5" t="n">
        <v>46285</v>
      </c>
      <c r="G12" s="2" t="n">
        <f aca="false">F12-E12+1</f>
        <v>3</v>
      </c>
      <c r="H12" s="2"/>
      <c r="I12" s="2" t="s">
        <v>13</v>
      </c>
    </row>
    <row r="13" customFormat="false" ht="26.85" hidden="false" customHeight="false" outlineLevel="0" collapsed="false">
      <c r="A13" s="2" t="s">
        <v>40</v>
      </c>
      <c r="B13" s="3" t="s">
        <v>38</v>
      </c>
      <c r="C13" s="4" t="s">
        <v>41</v>
      </c>
      <c r="D13" s="2" t="s">
        <v>36</v>
      </c>
      <c r="E13" s="5" t="n">
        <v>46285</v>
      </c>
      <c r="F13" s="5" t="n">
        <v>46287</v>
      </c>
      <c r="G13" s="2" t="n">
        <f aca="false">F13-E13+1</f>
        <v>3</v>
      </c>
      <c r="H13" s="2" t="s">
        <v>37</v>
      </c>
      <c r="I13" s="2" t="s">
        <v>13</v>
      </c>
    </row>
    <row r="14" customFormat="false" ht="26.85" hidden="false" customHeight="false" outlineLevel="0" collapsed="false">
      <c r="A14" s="2" t="s">
        <v>42</v>
      </c>
      <c r="B14" s="3" t="s">
        <v>38</v>
      </c>
      <c r="C14" s="4" t="s">
        <v>43</v>
      </c>
      <c r="D14" s="2" t="s">
        <v>28</v>
      </c>
      <c r="E14" s="5" t="n">
        <v>46287</v>
      </c>
      <c r="F14" s="5" t="n">
        <v>46289</v>
      </c>
      <c r="G14" s="2" t="n">
        <f aca="false">F14-E14+1</f>
        <v>3</v>
      </c>
      <c r="H14" s="2" t="s">
        <v>40</v>
      </c>
      <c r="I14" s="2" t="s">
        <v>13</v>
      </c>
    </row>
    <row r="15" customFormat="false" ht="26.85" hidden="false" customHeight="false" outlineLevel="0" collapsed="false">
      <c r="A15" s="2" t="s">
        <v>44</v>
      </c>
      <c r="B15" s="3" t="s">
        <v>38</v>
      </c>
      <c r="C15" s="4" t="s">
        <v>45</v>
      </c>
      <c r="D15" s="2" t="s">
        <v>16</v>
      </c>
      <c r="E15" s="5" t="n">
        <v>46284</v>
      </c>
      <c r="F15" s="5" t="n">
        <v>46288</v>
      </c>
      <c r="G15" s="2" t="n">
        <f aca="false">F15-E15+1</f>
        <v>5</v>
      </c>
      <c r="H15" s="2"/>
      <c r="I15" s="2" t="s">
        <v>13</v>
      </c>
    </row>
    <row r="16" customFormat="false" ht="26.85" hidden="false" customHeight="false" outlineLevel="0" collapsed="false">
      <c r="A16" s="2" t="s">
        <v>46</v>
      </c>
      <c r="B16" s="3" t="s">
        <v>38</v>
      </c>
      <c r="C16" s="4" t="s">
        <v>47</v>
      </c>
      <c r="D16" s="2" t="s">
        <v>48</v>
      </c>
      <c r="E16" s="5" t="n">
        <v>46288</v>
      </c>
      <c r="F16" s="5" t="n">
        <v>46289</v>
      </c>
      <c r="G16" s="2" t="n">
        <f aca="false">F16-E16+1</f>
        <v>2</v>
      </c>
      <c r="H16" s="2" t="s">
        <v>44</v>
      </c>
      <c r="I16" s="2" t="s">
        <v>13</v>
      </c>
    </row>
    <row r="17" customFormat="false" ht="26.85" hidden="false" customHeight="false" outlineLevel="0" collapsed="false">
      <c r="A17" s="2" t="s">
        <v>49</v>
      </c>
      <c r="B17" s="3" t="s">
        <v>50</v>
      </c>
      <c r="C17" s="4" t="s">
        <v>51</v>
      </c>
      <c r="D17" s="2" t="s">
        <v>48</v>
      </c>
      <c r="E17" s="5" t="n">
        <v>46290</v>
      </c>
      <c r="F17" s="5" t="n">
        <v>46290</v>
      </c>
      <c r="G17" s="2" t="n">
        <f aca="false">F17-E17+1</f>
        <v>1</v>
      </c>
      <c r="H17" s="2"/>
      <c r="I17" s="2" t="s">
        <v>13</v>
      </c>
    </row>
    <row r="18" customFormat="false" ht="26.85" hidden="false" customHeight="false" outlineLevel="0" collapsed="false">
      <c r="A18" s="2" t="s">
        <v>52</v>
      </c>
      <c r="B18" s="3" t="s">
        <v>50</v>
      </c>
      <c r="C18" s="4" t="s">
        <v>53</v>
      </c>
      <c r="D18" s="2" t="s">
        <v>48</v>
      </c>
      <c r="E18" s="5" t="n">
        <v>46291</v>
      </c>
      <c r="F18" s="5" t="n">
        <v>46291</v>
      </c>
      <c r="G18" s="2" t="n">
        <f aca="false">F18-E18+1</f>
        <v>1</v>
      </c>
      <c r="H18" s="2" t="s">
        <v>49</v>
      </c>
      <c r="I18" s="2" t="s">
        <v>13</v>
      </c>
    </row>
    <row r="19" customFormat="false" ht="26.85" hidden="false" customHeight="false" outlineLevel="0" collapsed="false">
      <c r="A19" s="2" t="s">
        <v>54</v>
      </c>
      <c r="B19" s="3" t="s">
        <v>50</v>
      </c>
      <c r="C19" s="4" t="s">
        <v>55</v>
      </c>
      <c r="D19" s="2" t="s">
        <v>48</v>
      </c>
      <c r="E19" s="5" t="n">
        <v>46292</v>
      </c>
      <c r="F19" s="5" t="n">
        <v>46292</v>
      </c>
      <c r="G19" s="2" t="n">
        <f aca="false">F19-E19+1</f>
        <v>1</v>
      </c>
      <c r="H19" s="2" t="s">
        <v>52</v>
      </c>
      <c r="I19" s="2" t="s">
        <v>13</v>
      </c>
    </row>
    <row r="20" customFormat="false" ht="39.55" hidden="false" customHeight="false" outlineLevel="0" collapsed="false">
      <c r="A20" s="2" t="s">
        <v>56</v>
      </c>
      <c r="B20" s="3" t="s">
        <v>57</v>
      </c>
      <c r="C20" s="4" t="s">
        <v>58</v>
      </c>
      <c r="D20" s="2" t="s">
        <v>12</v>
      </c>
      <c r="E20" s="5" t="n">
        <v>46293</v>
      </c>
      <c r="F20" s="5" t="n">
        <v>46300</v>
      </c>
      <c r="G20" s="2" t="n">
        <f aca="false">F20-E20+1</f>
        <v>8</v>
      </c>
      <c r="H20" s="2" t="s">
        <v>54</v>
      </c>
      <c r="I20" s="2" t="s">
        <v>13</v>
      </c>
    </row>
    <row r="21" customFormat="false" ht="39.55" hidden="false" customHeight="false" outlineLevel="0" collapsed="false">
      <c r="A21" s="2" t="s">
        <v>59</v>
      </c>
      <c r="B21" s="3" t="s">
        <v>57</v>
      </c>
      <c r="C21" s="4" t="s">
        <v>60</v>
      </c>
      <c r="D21" s="2" t="s">
        <v>16</v>
      </c>
      <c r="E21" s="5" t="n">
        <v>46301</v>
      </c>
      <c r="F21" s="5" t="n">
        <v>46326</v>
      </c>
      <c r="G21" s="2" t="n">
        <f aca="false">F21-E21+1</f>
        <v>26</v>
      </c>
      <c r="H21" s="2" t="s">
        <v>56</v>
      </c>
      <c r="I21" s="2" t="s">
        <v>13</v>
      </c>
    </row>
    <row r="22" customFormat="false" ht="39.55" hidden="false" customHeight="false" outlineLevel="0" collapsed="false">
      <c r="A22" s="2" t="s">
        <v>61</v>
      </c>
      <c r="B22" s="3" t="s">
        <v>57</v>
      </c>
      <c r="C22" s="4" t="s">
        <v>62</v>
      </c>
      <c r="D22" s="2" t="s">
        <v>48</v>
      </c>
      <c r="E22" s="5" t="n">
        <v>46327</v>
      </c>
      <c r="F22" s="5" t="n">
        <v>46356</v>
      </c>
      <c r="G22" s="2" t="n">
        <f aca="false">F22-E22+1</f>
        <v>30</v>
      </c>
      <c r="H22" s="2" t="s">
        <v>59</v>
      </c>
      <c r="I22" s="2" t="s">
        <v>13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</cols>
  <sheetData>
    <row r="1" customFormat="false" ht="27.75" hidden="false" customHeight="true" outlineLevel="0" collapsed="false">
      <c r="A1" s="1" t="s">
        <v>1</v>
      </c>
      <c r="B1" s="1" t="s">
        <v>63</v>
      </c>
      <c r="C1" s="1" t="s">
        <v>13</v>
      </c>
      <c r="D1" s="1" t="s">
        <v>64</v>
      </c>
      <c r="E1" s="1" t="s">
        <v>65</v>
      </c>
      <c r="F1" s="1" t="s">
        <v>66</v>
      </c>
    </row>
    <row r="2" customFormat="false" ht="25.35" hidden="false" customHeight="false" outlineLevel="0" collapsed="false">
      <c r="A2" s="4" t="s">
        <v>10</v>
      </c>
      <c r="B2" s="2" t="n">
        <f aca="false">COUNTIF(WBS!$B$2:$B$22,A2)</f>
        <v>5</v>
      </c>
      <c r="C2" s="2" t="n">
        <f aca="false">COUNTIFS(WBS!$B$2:$B$22,A2,WBS!$I$2:$I$22,"Not Started")</f>
        <v>5</v>
      </c>
      <c r="D2" s="2" t="n">
        <f aca="false">COUNTIFS(WBS!$B$2:$B$22,A2,WBS!$I$2:$I$22,"In Progress")</f>
        <v>0</v>
      </c>
      <c r="E2" s="2" t="n">
        <f aca="false">COUNTIFS(WBS!$B$2:$B$22,A2,WBS!$I$2:$I$22,"Done")</f>
        <v>0</v>
      </c>
      <c r="F2" s="6" t="n">
        <f aca="false">IFERROR(E2/B2,0)</f>
        <v>0</v>
      </c>
    </row>
    <row r="3" customFormat="false" ht="25.35" hidden="false" customHeight="false" outlineLevel="0" collapsed="false">
      <c r="A3" s="4" t="s">
        <v>24</v>
      </c>
      <c r="B3" s="2" t="n">
        <f aca="false">COUNTIF(WBS!$B$2:$B$22,A3)</f>
        <v>5</v>
      </c>
      <c r="C3" s="2" t="n">
        <f aca="false">COUNTIFS(WBS!$B$2:$B$22,A3,WBS!$I$2:$I$22,"Not Started")</f>
        <v>5</v>
      </c>
      <c r="D3" s="2" t="n">
        <f aca="false">COUNTIFS(WBS!$B$2:$B$22,A3,WBS!$I$2:$I$22,"In Progress")</f>
        <v>0</v>
      </c>
      <c r="E3" s="2" t="n">
        <f aca="false">COUNTIFS(WBS!$B$2:$B$22,A3,WBS!$I$2:$I$22,"Done")</f>
        <v>0</v>
      </c>
      <c r="F3" s="6" t="n">
        <f aca="false">IFERROR(E3/B3,0)</f>
        <v>0</v>
      </c>
    </row>
    <row r="4" customFormat="false" ht="15" hidden="false" customHeight="false" outlineLevel="0" collapsed="false">
      <c r="A4" s="4" t="s">
        <v>38</v>
      </c>
      <c r="B4" s="2" t="n">
        <f aca="false">COUNTIF(WBS!$B$2:$B$22,A4)</f>
        <v>5</v>
      </c>
      <c r="C4" s="2" t="n">
        <f aca="false">COUNTIFS(WBS!$B$2:$B$22,A4,WBS!$I$2:$I$22,"Not Started")</f>
        <v>5</v>
      </c>
      <c r="D4" s="2" t="n">
        <f aca="false">COUNTIFS(WBS!$B$2:$B$22,A4,WBS!$I$2:$I$22,"In Progress")</f>
        <v>0</v>
      </c>
      <c r="E4" s="2" t="n">
        <f aca="false">COUNTIFS(WBS!$B$2:$B$22,A4,WBS!$I$2:$I$22,"Done")</f>
        <v>0</v>
      </c>
      <c r="F4" s="6" t="n">
        <f aca="false">IFERROR(E4/B4,0)</f>
        <v>0</v>
      </c>
    </row>
    <row r="5" customFormat="false" ht="25.35" hidden="false" customHeight="false" outlineLevel="0" collapsed="false">
      <c r="A5" s="4" t="s">
        <v>50</v>
      </c>
      <c r="B5" s="2" t="n">
        <f aca="false">COUNTIF(WBS!$B$2:$B$22,A5)</f>
        <v>3</v>
      </c>
      <c r="C5" s="2" t="n">
        <f aca="false">COUNTIFS(WBS!$B$2:$B$22,A5,WBS!$I$2:$I$22,"Not Started")</f>
        <v>3</v>
      </c>
      <c r="D5" s="2" t="n">
        <f aca="false">COUNTIFS(WBS!$B$2:$B$22,A5,WBS!$I$2:$I$22,"In Progress")</f>
        <v>0</v>
      </c>
      <c r="E5" s="2" t="n">
        <f aca="false">COUNTIFS(WBS!$B$2:$B$22,A5,WBS!$I$2:$I$22,"Done")</f>
        <v>0</v>
      </c>
      <c r="F5" s="6" t="n">
        <f aca="false">IFERROR(E5/B5,0)</f>
        <v>0</v>
      </c>
    </row>
    <row r="6" customFormat="false" ht="25.35" hidden="false" customHeight="false" outlineLevel="0" collapsed="false">
      <c r="A6" s="4" t="s">
        <v>57</v>
      </c>
      <c r="B6" s="2" t="n">
        <f aca="false">COUNTIF(WBS!$B$2:$B$22,A6)</f>
        <v>3</v>
      </c>
      <c r="C6" s="2" t="n">
        <f aca="false">COUNTIFS(WBS!$B$2:$B$22,A6,WBS!$I$2:$I$22,"Not Started")</f>
        <v>3</v>
      </c>
      <c r="D6" s="2" t="n">
        <f aca="false">COUNTIFS(WBS!$B$2:$B$22,A6,WBS!$I$2:$I$22,"In Progress")</f>
        <v>0</v>
      </c>
      <c r="E6" s="2" t="n">
        <f aca="false">COUNTIFS(WBS!$B$2:$B$22,A6,WBS!$I$2:$I$22,"Done")</f>
        <v>0</v>
      </c>
      <c r="F6" s="6" t="n">
        <f aca="false">IFERROR(E6/B6,0)</f>
        <v>0</v>
      </c>
    </row>
    <row r="7" customFormat="false" ht="15" hidden="false" customHeight="false" outlineLevel="0" collapsed="false">
      <c r="A7" s="7" t="s">
        <v>67</v>
      </c>
      <c r="B7" s="7" t="n">
        <f aca="false">SUM(B2:B6)</f>
        <v>21</v>
      </c>
      <c r="C7" s="7" t="n">
        <f aca="false">SUM(C2:C6)</f>
        <v>21</v>
      </c>
      <c r="D7" s="7" t="n">
        <f aca="false">SUM(D2:D6)</f>
        <v>0</v>
      </c>
      <c r="E7" s="7" t="n">
        <f aca="false">SUM(E2:E6)</f>
        <v>0</v>
      </c>
      <c r="F7" s="8" t="n">
        <f aca="false">IFERROR(E7/B7,0)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2026-09-06T11:42:28Z</dcterms:created>
  <dc:creator>openpyxl</dc:creator>
  <dc:description/>
  <dc:language>en-US</dc:language>
  <cp:lastModifiedBy/>
  <dcterms:modified xsi:type="dcterms:W3CDTF">2026-09-06T11:42:28Z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